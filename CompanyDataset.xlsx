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0" yWindow="570" windowWidth="9255" windowHeight="6090"/>
  </bookViews>
  <sheets>
    <sheet name="Company" sheetId="1" r:id="rId1"/>
    <sheet name="Sheet2" sheetId="2" r:id="rId2"/>
    <sheet name="Comp" sheetId="3" r:id="rId3"/>
    <sheet name="Sheet4" sheetId="4" r:id="rId4"/>
    <sheet name="Pivot Table 2" sheetId="5" r:id="rId5"/>
  </sheets>
  <definedNames>
    <definedName name="IT">Comp!$A$10:$E$11</definedName>
    <definedName name="Sal">Comp!$D$2:$D$11</definedName>
    <definedName name="TCS">Comp!$A$5</definedName>
    <definedName name="TCSData">Comp!$A$5:$F$5</definedName>
  </definedNames>
  <calcPr calcId="145621"/>
  <pivotCaches>
    <pivotCache cacheId="5" r:id="rId6"/>
  </pivotCaches>
</workbook>
</file>

<file path=xl/calcChain.xml><?xml version="1.0" encoding="utf-8"?>
<calcChain xmlns="http://schemas.openxmlformats.org/spreadsheetml/2006/main">
  <c r="B41" i="3" l="1"/>
  <c r="G21" i="3"/>
  <c r="G19" i="3"/>
  <c r="G15" i="3"/>
  <c r="G13" i="3"/>
  <c r="B13" i="3"/>
  <c r="G11" i="3"/>
  <c r="G9" i="3"/>
  <c r="H7" i="3" a="1"/>
  <c r="K7" i="3" s="1"/>
  <c r="H3" i="3"/>
  <c r="B2" i="2"/>
  <c r="C2" i="2" s="1"/>
  <c r="D2" i="2" s="1"/>
  <c r="A16" i="1"/>
  <c r="A18" i="1" s="1"/>
  <c r="A20" i="1" s="1"/>
  <c r="A15" i="1"/>
  <c r="A17" i="1" s="1"/>
  <c r="A19" i="1" s="1"/>
  <c r="E5" i="1"/>
  <c r="H5" i="3"/>
  <c r="G17" i="3"/>
  <c r="I7" i="3" l="1"/>
  <c r="J7" i="3"/>
  <c r="H7" i="3"/>
</calcChain>
</file>

<file path=xl/sharedStrings.xml><?xml version="1.0" encoding="utf-8"?>
<sst xmlns="http://schemas.openxmlformats.org/spreadsheetml/2006/main" count="98" uniqueCount="41">
  <si>
    <t>Company Name</t>
  </si>
  <si>
    <t>Date</t>
  </si>
  <si>
    <t>Location</t>
  </si>
  <si>
    <t>Salary</t>
  </si>
  <si>
    <t>ADT</t>
  </si>
  <si>
    <t>Bangalore</t>
  </si>
  <si>
    <t>XYZ Corp</t>
  </si>
  <si>
    <t>Delhi</t>
  </si>
  <si>
    <t>Google</t>
  </si>
  <si>
    <t>Mumbai</t>
  </si>
  <si>
    <t>TCS</t>
  </si>
  <si>
    <t>Patna</t>
  </si>
  <si>
    <t>Radial</t>
  </si>
  <si>
    <t>Wipro</t>
  </si>
  <si>
    <t>E&amp;Y</t>
  </si>
  <si>
    <t>Cisco</t>
  </si>
  <si>
    <t>Capgemini</t>
  </si>
  <si>
    <t>Chennai</t>
  </si>
  <si>
    <t>Hlookup Example</t>
  </si>
  <si>
    <t>Input</t>
  </si>
  <si>
    <t>Job_Availability</t>
  </si>
  <si>
    <t>Yes</t>
  </si>
  <si>
    <t>1. What is the total number of entries in the dataset?</t>
  </si>
  <si>
    <t>No</t>
  </si>
  <si>
    <t>Ans</t>
  </si>
  <si>
    <t>2. How many unique company is entered in the dataset?</t>
  </si>
  <si>
    <t>3. Which company will pay highest salary?</t>
  </si>
  <si>
    <t>4. What is the average salary acrosss all the entries?</t>
  </si>
  <si>
    <t>5. How many entries are from Mumbai?</t>
  </si>
  <si>
    <t>6. What is the total salary paid by Capgemini?</t>
  </si>
  <si>
    <t>7. What is the average salary in  Capgemini?</t>
  </si>
  <si>
    <t>8. What is the highest salary paid in March?</t>
  </si>
  <si>
    <t>9. How many jobs are available in the entries?</t>
  </si>
  <si>
    <t>10. How many job positions are there which has more than 55k salary?</t>
  </si>
  <si>
    <t>adgasd</t>
  </si>
  <si>
    <t>ss</t>
  </si>
  <si>
    <t>aa</t>
  </si>
  <si>
    <t>SUM of Salary</t>
  </si>
  <si>
    <t>Grand Total</t>
  </si>
  <si>
    <t>(blank)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</si>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</sst>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5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b/>
      <i/>
      <strike/>
      <sz val="10"/>
      <color theme="1"/>
      <name val="Arial"/>
      <scheme val="minor"/>
    </font>
    <font>
      <strike/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C1130"/>
        <bgColor rgb="FF4C1130"/>
      </patternFill>
    </fill>
    <fill>
      <patternFill patternType="solid">
        <fgColor rgb="FF0C343D"/>
        <bgColor rgb="FF0C343D"/>
      </patternFill>
    </fill>
    <fill>
      <patternFill patternType="solid">
        <fgColor rgb="FF20124D"/>
        <bgColor rgb="FF20124D"/>
      </patternFill>
    </fill>
  </fills>
  <borders count="1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1" fillId="2" borderId="0" xfId="0" applyFont="1" applyFill="1" applyAlignment="1"/>
    <xf numFmtId="0" fontId="2" fillId="0" borderId="0" xfId="0" applyFont="1" applyAlignment="1"/>
    <xf numFmtId="164" fontId="2" fillId="0" borderId="0" xfId="0" applyNumberFormat="1" applyFont="1" applyAlignment="1"/>
    <xf numFmtId="164" fontId="2" fillId="0" borderId="0" xfId="0" applyNumberFormat="1" applyFont="1"/>
    <xf numFmtId="0" fontId="2" fillId="0" borderId="0" xfId="0" applyFont="1"/>
    <xf numFmtId="14" fontId="2" fillId="0" borderId="0" xfId="0" applyNumberFormat="1" applyFont="1" applyAlignment="1"/>
    <xf numFmtId="19" fontId="2" fillId="0" borderId="0" xfId="0" applyNumberFormat="1" applyFont="1" applyAlignment="1"/>
    <xf numFmtId="0" fontId="3" fillId="0" borderId="0" xfId="0" applyFont="1" applyAlignment="1"/>
    <xf numFmtId="0" fontId="4" fillId="0" borderId="0" xfId="0" applyFont="1" applyAlignment="1"/>
    <xf numFmtId="0" fontId="1" fillId="4" borderId="0" xfId="0" applyFont="1" applyFill="1" applyAlignment="1"/>
    <xf numFmtId="0" fontId="0" fillId="0" borderId="0" xfId="0" applyFont="1" applyAlignment="1"/>
    <xf numFmtId="0" fontId="1" fillId="3" borderId="0" xfId="0" applyFont="1" applyFill="1" applyAlignment="1"/>
    <xf numFmtId="0" fontId="0" fillId="0" borderId="1" xfId="0" pivotButton="1" applyFont="1" applyBorder="1" applyAlignme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1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1" xfId="0" applyNumberFormat="1" applyFont="1" applyBorder="1" applyAlignment="1"/>
    <xf numFmtId="0" fontId="0" fillId="0" borderId="4" xfId="0" applyNumberFormat="1" applyFont="1" applyBorder="1" applyAlignment="1"/>
    <xf numFmtId="0" fontId="0" fillId="0" borderId="5" xfId="0" applyNumberFormat="1" applyFont="1" applyBorder="1" applyAlignment="1"/>
    <xf numFmtId="0" fontId="0" fillId="0" borderId="6" xfId="0" applyFont="1" applyBorder="1" applyAlignment="1"/>
    <xf numFmtId="0" fontId="0" fillId="0" borderId="6" xfId="0" applyNumberFormat="1" applyFont="1" applyBorder="1" applyAlignment="1"/>
    <xf numFmtId="0" fontId="0" fillId="0" borderId="0" xfId="0" applyNumberFormat="1" applyFont="1" applyAlignment="1"/>
    <xf numFmtId="0" fontId="0" fillId="0" borderId="7" xfId="0" applyNumberFormat="1" applyFont="1" applyBorder="1" applyAlignment="1"/>
    <xf numFmtId="0" fontId="0" fillId="0" borderId="8" xfId="0" applyFont="1" applyBorder="1" applyAlignment="1"/>
    <xf numFmtId="0" fontId="0" fillId="0" borderId="8" xfId="0" applyNumberFormat="1" applyFont="1" applyBorder="1" applyAlignment="1"/>
    <xf numFmtId="0" fontId="0" fillId="0" borderId="9" xfId="0" applyNumberFormat="1" applyFont="1" applyBorder="1" applyAlignment="1"/>
    <xf numFmtId="0" fontId="0" fillId="0" borderId="10" xfId="0" applyNumberFormat="1" applyFont="1" applyBorder="1" applyAlignment="1"/>
    <xf numFmtId="0" fontId="0" fillId="0" borderId="10" xfId="0" pivotButton="1" applyFont="1" applyBorder="1" applyAlignment="1"/>
    <xf numFmtId="0" fontId="0" fillId="0" borderId="1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Admin" refreshedDate="45933.414387731478" refreshedVersion="4" recordCount="11">
  <cacheSource type="worksheet">
    <worksheetSource ref="A1:D12" sheet="Comp"/>
  </cacheSource>
  <cacheFields count="4">
    <cacheField name="Company Name" numFmtId="0">
      <sharedItems containsBlank="1" count="10">
        <s v="ADT"/>
        <s v="XYZ Corp"/>
        <s v="Google"/>
        <s v="TCS"/>
        <s v="Radial"/>
        <s v="Wipro"/>
        <s v="E&amp;Y"/>
        <s v="Cisco"/>
        <s v="Capgemini"/>
        <m/>
      </sharedItems>
    </cacheField>
    <cacheField name="Date" numFmtId="0">
      <sharedItems containsNonDate="0" containsDate="1" containsString="0" containsBlank="1" minDate="2024-01-01T00:00:00" maxDate="2024-01-06T00:00:00" count="5">
        <d v="2024-01-01T00:00:00"/>
        <d v="2024-01-02T00:00:00"/>
        <d v="2024-01-03T00:00:00"/>
        <d v="2024-01-05T00:00:00"/>
        <m/>
      </sharedItems>
    </cacheField>
    <cacheField name="Location" numFmtId="0">
      <sharedItems containsBlank="1" count="6">
        <s v="Bangalore"/>
        <s v="Delhi"/>
        <s v="Mumbai"/>
        <s v="Patna"/>
        <s v="Chennai"/>
        <m/>
      </sharedItems>
    </cacheField>
    <cacheField name="Salary" numFmtId="0">
      <sharedItems containsString="0" containsBlank="1" containsNumber="1" containsInteger="1" minValue="50000" maxValue="7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">
  <r>
    <x v="0"/>
    <x v="0"/>
    <x v="0"/>
    <n v="50000"/>
  </r>
  <r>
    <x v="1"/>
    <x v="0"/>
    <x v="1"/>
    <n v="60000"/>
  </r>
  <r>
    <x v="2"/>
    <x v="1"/>
    <x v="2"/>
    <n v="52000"/>
  </r>
  <r>
    <x v="3"/>
    <x v="1"/>
    <x v="3"/>
    <n v="61000"/>
  </r>
  <r>
    <x v="4"/>
    <x v="1"/>
    <x v="1"/>
    <n v="51000"/>
  </r>
  <r>
    <x v="5"/>
    <x v="2"/>
    <x v="2"/>
    <n v="52000"/>
  </r>
  <r>
    <x v="6"/>
    <x v="2"/>
    <x v="2"/>
    <n v="50000"/>
  </r>
  <r>
    <x v="7"/>
    <x v="2"/>
    <x v="2"/>
    <n v="70000"/>
  </r>
  <r>
    <x v="8"/>
    <x v="3"/>
    <x v="4"/>
    <n v="52000"/>
  </r>
  <r>
    <x v="8"/>
    <x v="3"/>
    <x v="2"/>
    <n v="59000"/>
  </r>
  <r>
    <x v="9"/>
    <x v="4"/>
    <x v="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2" cacheId="5" applyNumberFormats="0" applyBorderFormats="0" applyFontFormats="0" applyPatternFormats="0" applyAlignmentFormats="0" applyWidthHeightFormats="0" dataCaption="" updatedVersion="4" compact="0" compactData="0">
  <location ref="A3:F12" firstHeaderRow="1" firstDataRow="2" firstDataCol="1" rowPageCount="1" colPageCount="1"/>
  <pivotFields count="4">
    <pivotField name="Company Name" axis="axisRow" compact="0" outline="0" multipleItemSelectionAllowed="1" showAll="0" sortType="ascending">
      <items count="11">
        <item x="0"/>
        <item x="8"/>
        <item x="7"/>
        <item x="6"/>
        <item x="2"/>
        <item x="4"/>
        <item x="3"/>
        <item x="5"/>
        <item x="1"/>
        <item x="9"/>
        <item t="default"/>
      </items>
    </pivotField>
    <pivotField name="Date" axis="axisPage" compact="0" numFmtId="164" outline="0" multipleItemSelectionAllowed="1" showAll="0">
      <items count="6">
        <item h="1" x="0"/>
        <item x="1"/>
        <item x="2"/>
        <item h="1" x="3"/>
        <item x="4"/>
        <item t="default"/>
      </items>
    </pivotField>
    <pivotField name="Location" axis="axisCol" compact="0" outline="0" multipleItemSelectionAllowed="1" showAll="0" sortType="ascending">
      <items count="7">
        <item x="0"/>
        <item x="4"/>
        <item x="1"/>
        <item x="2"/>
        <item x="3"/>
        <item x="5"/>
        <item t="default"/>
      </items>
    </pivotField>
    <pivotField name="Salary" dataField="1" compact="0" outline="0" multipleItemSelectionAllowed="1" showAll="0"/>
  </pivotFields>
  <rowFields count="1">
    <field x="0"/>
  </rowFields>
  <rowItems count="8">
    <i>
      <x v="2"/>
    </i>
    <i>
      <x v="3"/>
    </i>
    <i>
      <x v="4"/>
    </i>
    <i>
      <x v="5"/>
    </i>
    <i>
      <x v="6"/>
    </i>
    <i>
      <x v="7"/>
    </i>
    <i>
      <x v="9"/>
    </i>
    <i t="grand">
      <x/>
    </i>
  </rowItems>
  <colFields count="1">
    <field x="2"/>
  </colFields>
  <colItems count="5">
    <i>
      <x v="2"/>
    </i>
    <i>
      <x v="3"/>
    </i>
    <i>
      <x v="4"/>
    </i>
    <i>
      <x v="5"/>
    </i>
    <i t="grand">
      <x/>
    </i>
  </colItems>
  <pageFields count="1">
    <pageField fld="1" hier="0"/>
  </pageFields>
  <dataFields count="1">
    <dataField name="SUM of Salary" fld="3" baseField="0"/>
  </dataField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20"/>
  <sheetViews>
    <sheetView tabSelected="1" workbookViewId="0"/>
  </sheetViews>
  <sheetFormatPr defaultColWidth="12.5703125" defaultRowHeight="15.75" customHeight="1" x14ac:dyDescent="0.2"/>
  <cols>
    <col min="1" max="1" width="13.5703125" customWidth="1"/>
    <col min="5" max="5" width="14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">
      <c r="A2" s="2" t="s">
        <v>4</v>
      </c>
      <c r="B2" s="3">
        <v>45292</v>
      </c>
      <c r="C2" s="2" t="s">
        <v>5</v>
      </c>
      <c r="D2" s="2">
        <v>50000</v>
      </c>
    </row>
    <row r="3" spans="1:5" x14ac:dyDescent="0.2">
      <c r="A3" s="2" t="s">
        <v>6</v>
      </c>
      <c r="B3" s="3">
        <v>45292</v>
      </c>
      <c r="C3" s="2" t="s">
        <v>7</v>
      </c>
      <c r="D3" s="2">
        <v>60000</v>
      </c>
    </row>
    <row r="4" spans="1:5" x14ac:dyDescent="0.2">
      <c r="A4" s="2" t="s">
        <v>8</v>
      </c>
      <c r="B4" s="3">
        <v>45293</v>
      </c>
      <c r="C4" s="2" t="s">
        <v>9</v>
      </c>
      <c r="D4" s="2">
        <v>52000</v>
      </c>
      <c r="E4" s="2" t="s">
        <v>4</v>
      </c>
    </row>
    <row r="5" spans="1:5" x14ac:dyDescent="0.2">
      <c r="A5" s="2" t="s">
        <v>10</v>
      </c>
      <c r="B5" s="3">
        <v>45293</v>
      </c>
      <c r="C5" s="2" t="s">
        <v>11</v>
      </c>
      <c r="D5" s="2">
        <v>61000</v>
      </c>
      <c r="E5" s="4">
        <f>VLOOKUP(E4,A1:D10,2)</f>
        <v>45292</v>
      </c>
    </row>
    <row r="6" spans="1:5" x14ac:dyDescent="0.2">
      <c r="A6" s="2" t="s">
        <v>12</v>
      </c>
      <c r="B6" s="3">
        <v>45293</v>
      </c>
      <c r="C6" s="2" t="s">
        <v>7</v>
      </c>
      <c r="D6" s="2">
        <v>51000</v>
      </c>
    </row>
    <row r="7" spans="1:5" x14ac:dyDescent="0.2">
      <c r="A7" s="2" t="s">
        <v>13</v>
      </c>
      <c r="B7" s="3">
        <v>45294</v>
      </c>
      <c r="C7" s="2" t="s">
        <v>9</v>
      </c>
      <c r="D7" s="2">
        <v>52000</v>
      </c>
    </row>
    <row r="8" spans="1:5" x14ac:dyDescent="0.2">
      <c r="A8" s="2" t="s">
        <v>14</v>
      </c>
      <c r="B8" s="3">
        <v>45294</v>
      </c>
      <c r="C8" s="2" t="s">
        <v>9</v>
      </c>
      <c r="D8" s="2">
        <v>50000</v>
      </c>
    </row>
    <row r="9" spans="1:5" x14ac:dyDescent="0.2">
      <c r="A9" s="2" t="s">
        <v>15</v>
      </c>
      <c r="B9" s="3">
        <v>45294</v>
      </c>
      <c r="C9" s="2" t="s">
        <v>9</v>
      </c>
      <c r="D9" s="2">
        <v>70000</v>
      </c>
    </row>
    <row r="10" spans="1:5" x14ac:dyDescent="0.2">
      <c r="A10" s="2" t="s">
        <v>16</v>
      </c>
      <c r="B10" s="3">
        <v>45296</v>
      </c>
      <c r="C10" s="2" t="s">
        <v>17</v>
      </c>
      <c r="D10" s="2">
        <v>52000</v>
      </c>
    </row>
    <row r="13" spans="1:5" x14ac:dyDescent="0.2">
      <c r="A13" s="2" t="s">
        <v>18</v>
      </c>
    </row>
    <row r="14" spans="1:5" x14ac:dyDescent="0.2">
      <c r="A14" s="2" t="s">
        <v>2</v>
      </c>
    </row>
    <row r="15" spans="1:5" x14ac:dyDescent="0.2">
      <c r="A15" s="5" t="str">
        <f>HLOOKUP(A14,A1:D10,2,FALSE)</f>
        <v>Bangalore</v>
      </c>
    </row>
    <row r="16" spans="1:5" x14ac:dyDescent="0.2">
      <c r="A16" s="5" t="str">
        <f t="shared" ref="A16:A20" si="0">HLOOKUP(A14,A1:D10,3,FALSE)</f>
        <v>Delhi</v>
      </c>
    </row>
    <row r="17" spans="1:1" x14ac:dyDescent="0.2">
      <c r="A17" s="5" t="str">
        <f t="shared" si="0"/>
        <v>Mumbai</v>
      </c>
    </row>
    <row r="18" spans="1:1" x14ac:dyDescent="0.2">
      <c r="A18" s="5" t="str">
        <f t="shared" si="0"/>
        <v>Patna</v>
      </c>
    </row>
    <row r="19" spans="1:1" x14ac:dyDescent="0.2">
      <c r="A19" s="5" t="str">
        <f t="shared" si="0"/>
        <v>Delhi</v>
      </c>
    </row>
    <row r="20" spans="1:1" x14ac:dyDescent="0.2">
      <c r="A20" s="5" t="str">
        <f t="shared" si="0"/>
        <v>Mumbai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2"/>
  <sheetViews>
    <sheetView workbookViewId="0">
      <selection activeCell="D2" sqref="D2"/>
    </sheetView>
  </sheetViews>
  <sheetFormatPr defaultColWidth="12.5703125" defaultRowHeight="15.75" customHeight="1" x14ac:dyDescent="0.2"/>
  <cols>
    <col min="1" max="1" width="19" customWidth="1"/>
  </cols>
  <sheetData>
    <row r="1" spans="1:4" x14ac:dyDescent="0.2">
      <c r="A1" s="2" t="s">
        <v>19</v>
      </c>
    </row>
    <row r="2" spans="1:4" x14ac:dyDescent="0.2">
      <c r="A2" s="2" t="s">
        <v>13</v>
      </c>
      <c r="B2" s="4">
        <f>VLOOKUP(A2,Company!A1:D10,2,FALSE)</f>
        <v>45294</v>
      </c>
      <c r="C2" s="5" t="str">
        <f>VLOOKUP(B2,Company!B1:D10,2,FALSE)</f>
        <v>Mumbai</v>
      </c>
      <c r="D2" s="5">
        <f>VLOOKUP(C2,Company!C1:E10,2,FALSE)</f>
        <v>52000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Company!$A$2:$A$10</xm:f>
          </x14:formula1>
          <xm:sqref>A2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41"/>
  <sheetViews>
    <sheetView workbookViewId="0"/>
  </sheetViews>
  <sheetFormatPr defaultColWidth="12.5703125" defaultRowHeight="15.75" customHeight="1" x14ac:dyDescent="0.2"/>
  <cols>
    <col min="1" max="1" width="13.5703125" customWidth="1"/>
    <col min="10" max="10" width="17.7109375" customWidth="1"/>
  </cols>
  <sheetData>
    <row r="1" spans="1:11" ht="18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20</v>
      </c>
    </row>
    <row r="2" spans="1:11" ht="18.75" customHeight="1" x14ac:dyDescent="0.2">
      <c r="A2" s="2" t="s">
        <v>4</v>
      </c>
      <c r="B2" s="3">
        <v>45292</v>
      </c>
      <c r="C2" s="2" t="s">
        <v>5</v>
      </c>
      <c r="D2" s="2">
        <v>50000</v>
      </c>
      <c r="E2" s="6">
        <v>45403</v>
      </c>
      <c r="F2" s="2" t="s">
        <v>21</v>
      </c>
      <c r="G2" s="12" t="s">
        <v>22</v>
      </c>
      <c r="H2" s="11"/>
      <c r="I2" s="11"/>
      <c r="J2" s="11"/>
    </row>
    <row r="3" spans="1:11" ht="18.75" customHeight="1" x14ac:dyDescent="0.2">
      <c r="A3" s="2" t="s">
        <v>6</v>
      </c>
      <c r="B3" s="3">
        <v>45292</v>
      </c>
      <c r="C3" s="2" t="s">
        <v>7</v>
      </c>
      <c r="D3" s="2">
        <v>60000</v>
      </c>
      <c r="E3" s="7">
        <v>0.87023783564654877</v>
      </c>
      <c r="F3" s="2" t="s">
        <v>23</v>
      </c>
      <c r="G3" s="2" t="s">
        <v>24</v>
      </c>
      <c r="H3" s="5">
        <f>COUNTA(A2:A11)</f>
        <v>10</v>
      </c>
    </row>
    <row r="4" spans="1:11" ht="18.75" customHeight="1" x14ac:dyDescent="0.2">
      <c r="A4" s="2" t="s">
        <v>8</v>
      </c>
      <c r="B4" s="3">
        <v>45293</v>
      </c>
      <c r="C4" s="2" t="s">
        <v>9</v>
      </c>
      <c r="D4" s="2">
        <v>52000</v>
      </c>
      <c r="E4" s="2"/>
      <c r="F4" s="2" t="s">
        <v>21</v>
      </c>
      <c r="G4" s="12" t="s">
        <v>25</v>
      </c>
      <c r="H4" s="11"/>
      <c r="I4" s="11"/>
      <c r="J4" s="11"/>
    </row>
    <row r="5" spans="1:11" ht="18.75" customHeight="1" x14ac:dyDescent="0.2">
      <c r="A5" s="2" t="s">
        <v>10</v>
      </c>
      <c r="B5" s="3">
        <v>45293</v>
      </c>
      <c r="C5" s="2" t="s">
        <v>11</v>
      </c>
      <c r="D5" s="2">
        <v>61000</v>
      </c>
      <c r="E5" s="2"/>
      <c r="F5" s="2" t="s">
        <v>21</v>
      </c>
      <c r="G5" s="2" t="s">
        <v>24</v>
      </c>
      <c r="H5" s="5">
        <f ca="1">IFERROR(__xludf.DUMMYFUNCTION("COUNTUNIQUE(A2:A11)"),9)</f>
        <v>9</v>
      </c>
    </row>
    <row r="6" spans="1:11" ht="18.75" customHeight="1" x14ac:dyDescent="0.2">
      <c r="A6" s="2" t="s">
        <v>12</v>
      </c>
      <c r="B6" s="3">
        <v>45293</v>
      </c>
      <c r="C6" s="2" t="s">
        <v>7</v>
      </c>
      <c r="D6" s="2">
        <v>51000</v>
      </c>
      <c r="E6" s="2"/>
      <c r="F6" s="2" t="s">
        <v>21</v>
      </c>
      <c r="G6" s="12" t="s">
        <v>26</v>
      </c>
      <c r="H6" s="11"/>
      <c r="I6" s="11"/>
      <c r="J6" s="11"/>
    </row>
    <row r="7" spans="1:11" ht="18.75" customHeight="1" x14ac:dyDescent="0.2">
      <c r="A7" s="2" t="s">
        <v>13</v>
      </c>
      <c r="B7" s="3">
        <v>45294</v>
      </c>
      <c r="C7" s="2" t="s">
        <v>9</v>
      </c>
      <c r="D7" s="2">
        <v>52000</v>
      </c>
      <c r="E7" s="2"/>
      <c r="F7" s="2" t="s">
        <v>23</v>
      </c>
      <c r="G7" s="2" t="s">
        <v>24</v>
      </c>
      <c r="H7" s="5" t="e">
        <f t="array" ref="H7:K7">INDEX(A2:D11,MATCH(MAX(D2:D11),D2:D11,FALSE))</f>
        <v>#REF!</v>
      </c>
      <c r="I7" s="4" t="e">
        <v>#REF!</v>
      </c>
      <c r="J7" s="5" t="e">
        <v>#REF!</v>
      </c>
      <c r="K7" s="5" t="e">
        <v>#REF!</v>
      </c>
    </row>
    <row r="8" spans="1:11" ht="18.75" customHeight="1" x14ac:dyDescent="0.2">
      <c r="A8" s="2" t="s">
        <v>14</v>
      </c>
      <c r="B8" s="3">
        <v>45294</v>
      </c>
      <c r="C8" s="2" t="s">
        <v>9</v>
      </c>
      <c r="D8" s="2">
        <v>50000</v>
      </c>
      <c r="E8" s="2"/>
      <c r="F8" s="2" t="s">
        <v>23</v>
      </c>
      <c r="G8" s="10" t="s">
        <v>27</v>
      </c>
      <c r="H8" s="11"/>
      <c r="I8" s="11"/>
      <c r="J8" s="11"/>
    </row>
    <row r="9" spans="1:11" ht="18.75" customHeight="1" x14ac:dyDescent="0.2">
      <c r="A9" s="2" t="s">
        <v>15</v>
      </c>
      <c r="B9" s="3">
        <v>45294</v>
      </c>
      <c r="C9" s="2" t="s">
        <v>9</v>
      </c>
      <c r="D9" s="2">
        <v>70000</v>
      </c>
      <c r="E9" s="2"/>
      <c r="F9" s="2" t="s">
        <v>23</v>
      </c>
      <c r="G9" s="5">
        <f>AVERAGE(D2:D11)</f>
        <v>55700</v>
      </c>
    </row>
    <row r="10" spans="1:11" ht="18.75" customHeight="1" x14ac:dyDescent="0.2">
      <c r="A10" s="2" t="s">
        <v>16</v>
      </c>
      <c r="B10" s="3">
        <v>45296</v>
      </c>
      <c r="C10" s="2" t="s">
        <v>17</v>
      </c>
      <c r="D10" s="2">
        <v>52000</v>
      </c>
      <c r="E10" s="2"/>
      <c r="F10" s="2" t="s">
        <v>21</v>
      </c>
      <c r="G10" s="10" t="s">
        <v>28</v>
      </c>
      <c r="H10" s="11"/>
      <c r="I10" s="11"/>
      <c r="J10" s="11"/>
    </row>
    <row r="11" spans="1:11" ht="18.75" customHeight="1" x14ac:dyDescent="0.2">
      <c r="A11" s="2" t="s">
        <v>16</v>
      </c>
      <c r="B11" s="3">
        <v>45296</v>
      </c>
      <c r="C11" s="2" t="s">
        <v>9</v>
      </c>
      <c r="D11" s="2">
        <v>59000</v>
      </c>
      <c r="E11" s="2"/>
      <c r="F11" s="2" t="s">
        <v>21</v>
      </c>
      <c r="G11" s="5">
        <f>COUNTIF(C2:C11,"Mumbai")</f>
        <v>5</v>
      </c>
    </row>
    <row r="12" spans="1:11" ht="18.75" customHeight="1" x14ac:dyDescent="0.2">
      <c r="G12" s="10" t="s">
        <v>29</v>
      </c>
      <c r="H12" s="11"/>
      <c r="I12" s="11"/>
      <c r="J12" s="11"/>
    </row>
    <row r="13" spans="1:11" ht="18.75" customHeight="1" x14ac:dyDescent="0.2">
      <c r="B13" s="5">
        <f>SUM(Sal)</f>
        <v>557000</v>
      </c>
      <c r="G13" s="5">
        <f>SUMIF(A2:A11,"Capgemini",D2:D11)</f>
        <v>111000</v>
      </c>
    </row>
    <row r="14" spans="1:11" ht="18.75" customHeight="1" x14ac:dyDescent="0.2">
      <c r="G14" s="10" t="s">
        <v>30</v>
      </c>
      <c r="H14" s="11"/>
      <c r="I14" s="11"/>
      <c r="J14" s="11"/>
    </row>
    <row r="15" spans="1:11" ht="18.75" customHeight="1" x14ac:dyDescent="0.2">
      <c r="G15" s="5">
        <f>AVERAGEIF(A2:A11,"Capgemini",D2:D11)</f>
        <v>55500</v>
      </c>
    </row>
    <row r="16" spans="1:11" ht="12.75" x14ac:dyDescent="0.2">
      <c r="G16" s="10" t="s">
        <v>31</v>
      </c>
      <c r="H16" s="11"/>
      <c r="I16" s="11"/>
      <c r="J16" s="11"/>
    </row>
    <row r="17" spans="7:10" ht="12.75" x14ac:dyDescent="0.2">
      <c r="G17" s="5" t="e">
        <f ca="1">maxifs(D2:D11,B2:B11,"2024-01-03")</f>
        <v>#NAME?</v>
      </c>
    </row>
    <row r="18" spans="7:10" ht="12.75" x14ac:dyDescent="0.2">
      <c r="G18" s="10" t="s">
        <v>32</v>
      </c>
      <c r="H18" s="11"/>
      <c r="I18" s="11"/>
      <c r="J18" s="11"/>
    </row>
    <row r="19" spans="7:10" ht="12.75" x14ac:dyDescent="0.2">
      <c r="G19" s="5">
        <f>COUNTIF(F2:F11,"Yes")</f>
        <v>6</v>
      </c>
    </row>
    <row r="20" spans="7:10" ht="12.75" x14ac:dyDescent="0.2">
      <c r="G20" s="10" t="s">
        <v>33</v>
      </c>
      <c r="H20" s="11"/>
      <c r="I20" s="11"/>
      <c r="J20" s="11"/>
    </row>
    <row r="21" spans="7:10" ht="12.75" x14ac:dyDescent="0.2">
      <c r="G21" s="5">
        <f>COUNTIF(D2:D11,"&gt;55000")</f>
        <v>4</v>
      </c>
    </row>
    <row r="41" spans="2:2" ht="12.75" x14ac:dyDescent="0.2">
      <c r="B41" s="5">
        <f>SUM(Sal)</f>
        <v>557000</v>
      </c>
    </row>
  </sheetData>
  <mergeCells count="10">
    <mergeCell ref="G16:J16"/>
    <mergeCell ref="G18:J18"/>
    <mergeCell ref="G20:J20"/>
    <mergeCell ref="G2:J2"/>
    <mergeCell ref="G4:J4"/>
    <mergeCell ref="G6:J6"/>
    <mergeCell ref="G8:J8"/>
    <mergeCell ref="G10:J10"/>
    <mergeCell ref="G12:J12"/>
    <mergeCell ref="G14:J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9"/>
  <sheetViews>
    <sheetView workbookViewId="0"/>
  </sheetViews>
  <sheetFormatPr defaultColWidth="12.5703125" defaultRowHeight="15.75" customHeight="1" x14ac:dyDescent="0.2"/>
  <sheetData>
    <row r="1" spans="1:3" x14ac:dyDescent="0.2">
      <c r="A1" s="8" t="s">
        <v>34</v>
      </c>
    </row>
    <row r="9" spans="1:3" x14ac:dyDescent="0.2">
      <c r="A9" s="2" t="s">
        <v>35</v>
      </c>
      <c r="B9" s="9" t="s">
        <v>35</v>
      </c>
      <c r="C9" s="2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2"/>
  <sheetViews>
    <sheetView showGridLines="0" workbookViewId="0"/>
  </sheetViews>
  <sheetFormatPr defaultColWidth="12.5703125" defaultRowHeight="15.75" customHeight="1" x14ac:dyDescent="0.2"/>
  <sheetData>
    <row r="1" spans="1:6" x14ac:dyDescent="0.2">
      <c r="A1" s="30" t="s">
        <v>1</v>
      </c>
      <c r="B1" s="31" t="s">
        <v>40</v>
      </c>
    </row>
    <row r="3" spans="1:6" x14ac:dyDescent="0.2">
      <c r="A3" s="13" t="s">
        <v>37</v>
      </c>
      <c r="B3" s="13" t="s">
        <v>2</v>
      </c>
      <c r="C3" s="14"/>
      <c r="D3" s="14"/>
      <c r="E3" s="14"/>
      <c r="F3" s="15"/>
    </row>
    <row r="4" spans="1:6" x14ac:dyDescent="0.2">
      <c r="A4" s="13" t="s">
        <v>0</v>
      </c>
      <c r="B4" s="16" t="s">
        <v>7</v>
      </c>
      <c r="C4" s="17" t="s">
        <v>9</v>
      </c>
      <c r="D4" s="17" t="s">
        <v>11</v>
      </c>
      <c r="E4" s="17" t="s">
        <v>39</v>
      </c>
      <c r="F4" s="18" t="s">
        <v>38</v>
      </c>
    </row>
    <row r="5" spans="1:6" x14ac:dyDescent="0.2">
      <c r="A5" s="16" t="s">
        <v>15</v>
      </c>
      <c r="B5" s="19"/>
      <c r="C5" s="20">
        <v>70000</v>
      </c>
      <c r="D5" s="20"/>
      <c r="E5" s="20"/>
      <c r="F5" s="21">
        <v>70000</v>
      </c>
    </row>
    <row r="6" spans="1:6" x14ac:dyDescent="0.2">
      <c r="A6" s="22" t="s">
        <v>14</v>
      </c>
      <c r="B6" s="23"/>
      <c r="C6" s="24">
        <v>50000</v>
      </c>
      <c r="D6" s="24"/>
      <c r="E6" s="24"/>
      <c r="F6" s="25">
        <v>50000</v>
      </c>
    </row>
    <row r="7" spans="1:6" x14ac:dyDescent="0.2">
      <c r="A7" s="22" t="s">
        <v>8</v>
      </c>
      <c r="B7" s="23"/>
      <c r="C7" s="24">
        <v>52000</v>
      </c>
      <c r="D7" s="24"/>
      <c r="E7" s="24"/>
      <c r="F7" s="25">
        <v>52000</v>
      </c>
    </row>
    <row r="8" spans="1:6" x14ac:dyDescent="0.2">
      <c r="A8" s="22" t="s">
        <v>12</v>
      </c>
      <c r="B8" s="23">
        <v>51000</v>
      </c>
      <c r="C8" s="24"/>
      <c r="D8" s="24"/>
      <c r="E8" s="24"/>
      <c r="F8" s="25">
        <v>51000</v>
      </c>
    </row>
    <row r="9" spans="1:6" x14ac:dyDescent="0.2">
      <c r="A9" s="22" t="s">
        <v>10</v>
      </c>
      <c r="B9" s="23"/>
      <c r="C9" s="24"/>
      <c r="D9" s="24">
        <v>61000</v>
      </c>
      <c r="E9" s="24"/>
      <c r="F9" s="25">
        <v>61000</v>
      </c>
    </row>
    <row r="10" spans="1:6" x14ac:dyDescent="0.2">
      <c r="A10" s="22" t="s">
        <v>13</v>
      </c>
      <c r="B10" s="23"/>
      <c r="C10" s="24">
        <v>52000</v>
      </c>
      <c r="D10" s="24"/>
      <c r="E10" s="24"/>
      <c r="F10" s="25">
        <v>52000</v>
      </c>
    </row>
    <row r="11" spans="1:6" ht="15.75" customHeight="1" x14ac:dyDescent="0.2">
      <c r="A11" s="22" t="s">
        <v>39</v>
      </c>
      <c r="B11" s="23"/>
      <c r="C11" s="24"/>
      <c r="D11" s="24"/>
      <c r="E11" s="24"/>
      <c r="F11" s="25"/>
    </row>
    <row r="12" spans="1:6" ht="15.75" customHeight="1" x14ac:dyDescent="0.2">
      <c r="A12" s="26" t="s">
        <v>38</v>
      </c>
      <c r="B12" s="27">
        <v>51000</v>
      </c>
      <c r="C12" s="28">
        <v>224000</v>
      </c>
      <c r="D12" s="28">
        <v>61000</v>
      </c>
      <c r="E12" s="28"/>
      <c r="F12" s="29">
        <v>336000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Company</vt:lpstr>
      <vt:lpstr>Sheet2</vt:lpstr>
      <vt:lpstr>Comp</vt:lpstr>
      <vt:lpstr>Sheet4</vt:lpstr>
      <vt:lpstr>Pivot Table 2</vt:lpstr>
      <vt:lpstr>IT</vt:lpstr>
      <vt:lpstr>Sal</vt:lpstr>
      <vt:lpstr>TCS</vt:lpstr>
      <vt:lpstr>TCSData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2025-10-03T04:27:31Z</dcterms:modified>
</cp:coreProperties>
</file>